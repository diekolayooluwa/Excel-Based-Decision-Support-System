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4380" windowHeight="5290"/>
  </bookViews>
  <sheets>
    <sheet name="Cat and Dog" sheetId="2" r:id="rId1"/>
    <sheet name="Vacation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3" i="2" l="1"/>
  <c r="L32" i="2"/>
  <c r="L31" i="2"/>
  <c r="L30" i="2"/>
  <c r="L29" i="2"/>
  <c r="J29" i="2"/>
  <c r="L28" i="2"/>
  <c r="J30" i="2"/>
  <c r="J31" i="2"/>
  <c r="J33" i="2" s="1"/>
  <c r="J32" i="2"/>
  <c r="J28" i="2"/>
  <c r="J34" i="3" l="1"/>
  <c r="J30" i="3"/>
  <c r="I30" i="3"/>
  <c r="I34" i="3" s="1"/>
  <c r="H30" i="3"/>
  <c r="H34" i="3" s="1"/>
  <c r="J25" i="3"/>
  <c r="I25" i="3"/>
  <c r="H25" i="3"/>
  <c r="J18" i="3"/>
  <c r="J20" i="3" s="1"/>
  <c r="I18" i="3"/>
  <c r="I20" i="3" s="1"/>
  <c r="H18" i="3"/>
  <c r="H20" i="3" s="1"/>
  <c r="C34" i="3"/>
  <c r="D34" i="3"/>
  <c r="B34" i="3"/>
  <c r="C30" i="3"/>
  <c r="D30" i="3"/>
  <c r="B30" i="3"/>
  <c r="D18" i="3"/>
  <c r="C18" i="3"/>
  <c r="C20" i="3" s="1"/>
  <c r="B18" i="3"/>
  <c r="B20" i="3" s="1"/>
  <c r="C25" i="3"/>
  <c r="D25" i="3"/>
  <c r="B25" i="3"/>
  <c r="D20" i="3"/>
  <c r="C19" i="2"/>
  <c r="B19" i="2"/>
  <c r="C16" i="2"/>
  <c r="B16" i="2"/>
  <c r="C15" i="2"/>
  <c r="B15" i="2"/>
  <c r="C9" i="2"/>
  <c r="B9" i="2"/>
</calcChain>
</file>

<file path=xl/sharedStrings.xml><?xml version="1.0" encoding="utf-8"?>
<sst xmlns="http://schemas.openxmlformats.org/spreadsheetml/2006/main" count="109" uniqueCount="54">
  <si>
    <t>Susan</t>
  </si>
  <si>
    <t>Total</t>
  </si>
  <si>
    <t>Tim</t>
  </si>
  <si>
    <t>Cat</t>
  </si>
  <si>
    <t>Dog</t>
  </si>
  <si>
    <t>Collar</t>
  </si>
  <si>
    <t>Purchase</t>
  </si>
  <si>
    <t>ID tag</t>
  </si>
  <si>
    <t xml:space="preserve"> Bowl</t>
  </si>
  <si>
    <t>Leash</t>
  </si>
  <si>
    <t>Monthly</t>
  </si>
  <si>
    <t>Food</t>
  </si>
  <si>
    <t>Litter</t>
  </si>
  <si>
    <t>Treats</t>
  </si>
  <si>
    <r>
      <rPr>
        <sz val="11"/>
        <color rgb="FFC00000"/>
        <rFont val="Calibri"/>
        <family val="2"/>
        <scheme val="minor"/>
      </rPr>
      <t>Initial</t>
    </r>
    <r>
      <rPr>
        <sz val="11"/>
        <color theme="1"/>
        <rFont val="Calibri"/>
        <family val="2"/>
        <scheme val="minor"/>
      </rPr>
      <t xml:space="preserve"> </t>
    </r>
  </si>
  <si>
    <t>Subtotal</t>
  </si>
  <si>
    <t xml:space="preserve">First Year's </t>
  </si>
  <si>
    <t>Carribean Cruise</t>
  </si>
  <si>
    <t>Orlando Theme</t>
  </si>
  <si>
    <t>Chicago Museum Tour</t>
  </si>
  <si>
    <t>Car Rental</t>
  </si>
  <si>
    <t>Per Person</t>
  </si>
  <si>
    <t>Air Fare</t>
  </si>
  <si>
    <t>Disneyland</t>
  </si>
  <si>
    <t>Universal Studios</t>
  </si>
  <si>
    <t>Sea World</t>
  </si>
  <si>
    <t>Busch Gardens</t>
  </si>
  <si>
    <t>Natural History</t>
  </si>
  <si>
    <t>Chicago Museum</t>
  </si>
  <si>
    <t>Museum of Broadcast History</t>
  </si>
  <si>
    <t>Science Museum</t>
  </si>
  <si>
    <t>Cruise</t>
  </si>
  <si>
    <t>SubTotal(Per Person)</t>
  </si>
  <si>
    <t>Number of persons</t>
  </si>
  <si>
    <t>Total Cost of Ticket</t>
  </si>
  <si>
    <t>Hotel Expenses</t>
  </si>
  <si>
    <t>Hotel fee/ Night</t>
  </si>
  <si>
    <t>Number of Nights</t>
  </si>
  <si>
    <t>Rental/Day</t>
  </si>
  <si>
    <t>Number of Days</t>
  </si>
  <si>
    <t>Total Hotel</t>
  </si>
  <si>
    <t>Total Car</t>
  </si>
  <si>
    <t>Citeria</t>
  </si>
  <si>
    <t>Maintenance</t>
  </si>
  <si>
    <t>Flexibility</t>
  </si>
  <si>
    <t>Initial Cost</t>
  </si>
  <si>
    <t>Monthly Cost</t>
  </si>
  <si>
    <t>First-Year Cost</t>
  </si>
  <si>
    <t>Decision Matrix</t>
  </si>
  <si>
    <t>Weighted Decision Analysis</t>
  </si>
  <si>
    <t>Weight</t>
  </si>
  <si>
    <t>Cat Weighted</t>
  </si>
  <si>
    <t>Dog Weighted</t>
  </si>
  <si>
    <t xml:space="preserve">Dog Weighted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</si>
</sst>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0" fillId="3" borderId="0" xfId="0" applyFill="1"/>
    <xf numFmtId="44" fontId="0" fillId="3" borderId="0" xfId="1" applyFont="1" applyFill="1" applyBorder="1"/>
    <xf numFmtId="0" fontId="0" fillId="0" borderId="0" xfId="0" applyFill="1"/>
    <xf numFmtId="0" fontId="0" fillId="5" borderId="0" xfId="0" applyFill="1"/>
    <xf numFmtId="0" fontId="2" fillId="5" borderId="0" xfId="0" applyFont="1" applyFill="1"/>
    <xf numFmtId="44" fontId="0" fillId="5" borderId="0" xfId="1" applyFont="1" applyFill="1"/>
    <xf numFmtId="44" fontId="0" fillId="5" borderId="0" xfId="0" applyNumberFormat="1" applyFill="1"/>
    <xf numFmtId="0" fontId="0" fillId="6" borderId="0" xfId="0" applyFill="1"/>
    <xf numFmtId="44" fontId="0" fillId="6" borderId="0" xfId="1" applyFont="1" applyFill="1"/>
    <xf numFmtId="0" fontId="0" fillId="7" borderId="0" xfId="0" applyFill="1"/>
    <xf numFmtId="44" fontId="0" fillId="7" borderId="0" xfId="1" applyFont="1" applyFill="1"/>
    <xf numFmtId="0" fontId="2" fillId="7" borderId="0" xfId="0" applyFont="1" applyFill="1"/>
    <xf numFmtId="0" fontId="3" fillId="0" borderId="0" xfId="0" applyFont="1" applyFill="1"/>
    <xf numFmtId="44" fontId="0" fillId="0" borderId="0" xfId="1" applyFont="1" applyFill="1"/>
    <xf numFmtId="0" fontId="3" fillId="4" borderId="1" xfId="0" applyFont="1" applyFill="1" applyBorder="1"/>
    <xf numFmtId="44" fontId="3" fillId="4" borderId="2" xfId="0" applyNumberFormat="1" applyFont="1" applyFill="1" applyBorder="1"/>
    <xf numFmtId="44" fontId="3" fillId="4" borderId="3" xfId="0" applyNumberFormat="1" applyFont="1" applyFill="1" applyBorder="1"/>
    <xf numFmtId="0" fontId="3" fillId="4" borderId="4" xfId="0" applyFont="1" applyFill="1" applyBorder="1"/>
    <xf numFmtId="0" fontId="3" fillId="4" borderId="0" xfId="0" applyFont="1" applyFill="1" applyBorder="1"/>
    <xf numFmtId="0" fontId="3" fillId="4" borderId="5" xfId="0" applyFont="1" applyFill="1" applyBorder="1"/>
    <xf numFmtId="44" fontId="3" fillId="4" borderId="0" xfId="0" applyNumberFormat="1" applyFont="1" applyFill="1" applyBorder="1"/>
    <xf numFmtId="44" fontId="3" fillId="4" borderId="5" xfId="0" applyNumberFormat="1" applyFont="1" applyFill="1" applyBorder="1"/>
    <xf numFmtId="0" fontId="3" fillId="0" borderId="4" xfId="0" applyFont="1" applyFill="1" applyBorder="1"/>
    <xf numFmtId="0" fontId="3" fillId="0" borderId="0" xfId="0" applyFont="1" applyFill="1" applyBorder="1"/>
    <xf numFmtId="0" fontId="3" fillId="0" borderId="5" xfId="0" applyFont="1" applyFill="1" applyBorder="1"/>
    <xf numFmtId="0" fontId="3" fillId="2" borderId="4" xfId="0" applyFont="1" applyFill="1" applyBorder="1"/>
    <xf numFmtId="0" fontId="0" fillId="2" borderId="0" xfId="0" applyFill="1" applyBorder="1"/>
    <xf numFmtId="0" fontId="0" fillId="2" borderId="5" xfId="0" applyFill="1" applyBorder="1"/>
    <xf numFmtId="44" fontId="0" fillId="2" borderId="0" xfId="1" applyFont="1" applyFill="1" applyBorder="1"/>
    <xf numFmtId="44" fontId="0" fillId="2" borderId="5" xfId="1" applyFont="1" applyFill="1" applyBorder="1"/>
    <xf numFmtId="0" fontId="0" fillId="2" borderId="0" xfId="1" applyNumberFormat="1" applyFont="1" applyFill="1" applyBorder="1"/>
    <xf numFmtId="0" fontId="0" fillId="2" borderId="5" xfId="1" applyNumberFormat="1" applyFont="1" applyFill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3" fillId="8" borderId="4" xfId="0" applyFont="1" applyFill="1" applyBorder="1"/>
    <xf numFmtId="0" fontId="3" fillId="8" borderId="0" xfId="0" applyFont="1" applyFill="1" applyBorder="1"/>
    <xf numFmtId="0" fontId="3" fillId="8" borderId="5" xfId="0" applyFont="1" applyFill="1" applyBorder="1"/>
    <xf numFmtId="44" fontId="3" fillId="8" borderId="0" xfId="1" applyFont="1" applyFill="1" applyBorder="1"/>
    <xf numFmtId="44" fontId="3" fillId="8" borderId="5" xfId="1" applyFont="1" applyFill="1" applyBorder="1"/>
    <xf numFmtId="44" fontId="3" fillId="8" borderId="0" xfId="0" applyNumberFormat="1" applyFont="1" applyFill="1" applyBorder="1"/>
    <xf numFmtId="44" fontId="3" fillId="8" borderId="5" xfId="0" applyNumberFormat="1" applyFont="1" applyFill="1" applyBorder="1"/>
    <xf numFmtId="0" fontId="3" fillId="6" borderId="4" xfId="0" applyFont="1" applyFill="1" applyBorder="1"/>
    <xf numFmtId="0" fontId="0" fillId="6" borderId="0" xfId="0" applyFill="1" applyBorder="1"/>
    <xf numFmtId="0" fontId="0" fillId="6" borderId="5" xfId="0" applyFill="1" applyBorder="1"/>
    <xf numFmtId="0" fontId="3" fillId="6" borderId="6" xfId="0" applyFont="1" applyFill="1" applyBorder="1"/>
    <xf numFmtId="44" fontId="0" fillId="6" borderId="7" xfId="0" applyNumberFormat="1" applyFill="1" applyBorder="1"/>
    <xf numFmtId="44" fontId="0" fillId="6" borderId="8" xfId="0" applyNumberFormat="1" applyFill="1" applyBorder="1"/>
    <xf numFmtId="44" fontId="3" fillId="0" borderId="0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  <xf numFmtId="0" fontId="0" fillId="3" borderId="0" xfId="0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 Owning a</a:t>
            </a:r>
            <a:r>
              <a:rPr lang="en-US" baseline="0"/>
              <a:t> Dog and Cat in The First Year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 and Dog'!$B$18:$C$18</c:f>
              <c:strCache>
                <c:ptCount val="2"/>
                <c:pt idx="0">
                  <c:v>Cat</c:v>
                </c:pt>
                <c:pt idx="1">
                  <c:v>Dog</c:v>
                </c:pt>
              </c:strCache>
            </c:strRef>
          </c:cat>
          <c:val>
            <c:numRef>
              <c:f>'Cat and Dog'!$B$19:$C$19</c:f>
              <c:numCache>
                <c:formatCode>_("$"* #,##0.00_);_("$"* \(#,##0.00\);_("$"* "-"??_);_(@_)</c:formatCode>
                <c:ptCount val="2"/>
                <c:pt idx="0">
                  <c:v>559.5</c:v>
                </c:pt>
                <c:pt idx="1">
                  <c:v>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1-47FC-A3B2-55363B49C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56848"/>
        <c:axId val="143844368"/>
      </c:barChart>
      <c:catAx>
        <c:axId val="14385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44368"/>
        <c:crosses val="autoZero"/>
        <c:auto val="1"/>
        <c:lblAlgn val="ctr"/>
        <c:lblOffset val="100"/>
        <c:noMultiLvlLbl val="0"/>
      </c:catAx>
      <c:valAx>
        <c:axId val="14384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Cost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5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Decision</a:t>
            </a:r>
            <a:r>
              <a:rPr lang="en-US" baseline="0"/>
              <a:t> Matrix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'Cat and Dog'!$C$35:$D$35</c:f>
              <c:strCache>
                <c:ptCount val="2"/>
                <c:pt idx="0">
                  <c:v>Cat</c:v>
                </c:pt>
                <c:pt idx="1">
                  <c:v>Dog</c:v>
                </c:pt>
              </c:strCache>
            </c:strRef>
          </c:cat>
          <c:val>
            <c:numRef>
              <c:f>'Cat and Dog'!$C$36:$D$36</c:f>
              <c:numCache>
                <c:formatCode>General</c:formatCode>
                <c:ptCount val="2"/>
                <c:pt idx="0">
                  <c:v>36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7-423C-8645-ED77B425E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Weighted</a:t>
            </a:r>
            <a:r>
              <a:rPr lang="en-US" baseline="0"/>
              <a:t> Decision Chart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 and Dog'!$J$34:$K$34</c:f>
              <c:strCache>
                <c:ptCount val="2"/>
                <c:pt idx="0">
                  <c:v>Cat Weighted</c:v>
                </c:pt>
                <c:pt idx="1">
                  <c:v>Dog Weighted</c:v>
                </c:pt>
              </c:strCache>
            </c:strRef>
          </c:cat>
          <c:val>
            <c:numRef>
              <c:f>'Cat and Dog'!$J$35:$K$35</c:f>
              <c:numCache>
                <c:formatCode>General</c:formatCode>
                <c:ptCount val="2"/>
                <c:pt idx="0">
                  <c:v>7.5</c:v>
                </c:pt>
                <c:pt idx="1">
                  <c:v>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A-4CCC-A0BD-AC7B2EC9A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7286159"/>
        <c:axId val="1787280335"/>
      </c:barChart>
      <c:catAx>
        <c:axId val="178728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280335"/>
        <c:crosses val="autoZero"/>
        <c:auto val="1"/>
        <c:lblAlgn val="ctr"/>
        <c:lblOffset val="100"/>
        <c:noMultiLvlLbl val="0"/>
      </c:catAx>
      <c:valAx>
        <c:axId val="178728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28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</a:t>
            </a:r>
            <a:r>
              <a:rPr lang="en-US" baseline="0"/>
              <a:t> of Vacation for Susan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Vacation!$B$33:$D$33</c:f>
              <c:strCache>
                <c:ptCount val="3"/>
                <c:pt idx="0">
                  <c:v>Carribean Cruise</c:v>
                </c:pt>
                <c:pt idx="1">
                  <c:v>Orlando Theme</c:v>
                </c:pt>
                <c:pt idx="2">
                  <c:v>Chicago Museum Tour</c:v>
                </c:pt>
              </c:strCache>
            </c:strRef>
          </c:cat>
          <c:val>
            <c:numRef>
              <c:f>Vacation!$B$34:$D$34</c:f>
              <c:numCache>
                <c:formatCode>_("$"* #,##0.00_);_("$"* \(#,##0.00\);_("$"* "-"??_);_(@_)</c:formatCode>
                <c:ptCount val="3"/>
                <c:pt idx="0">
                  <c:v>1810</c:v>
                </c:pt>
                <c:pt idx="1">
                  <c:v>1553</c:v>
                </c:pt>
                <c:pt idx="2">
                  <c:v>1554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7-4CDE-B7B8-0A76FCE601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896784"/>
        <c:axId val="36894288"/>
      </c:barChart>
      <c:catAx>
        <c:axId val="36896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Loaction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94288"/>
        <c:crosses val="autoZero"/>
        <c:auto val="1"/>
        <c:lblAlgn val="ctr"/>
        <c:lblOffset val="100"/>
        <c:noMultiLvlLbl val="0"/>
      </c:catAx>
      <c:valAx>
        <c:axId val="3689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Implication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9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 Vacation</a:t>
            </a:r>
            <a:r>
              <a:rPr lang="en-US" baseline="0"/>
              <a:t> for Tim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Vacation!$H$33:$J$33</c:f>
              <c:strCache>
                <c:ptCount val="3"/>
                <c:pt idx="0">
                  <c:v>Carribean Cruise</c:v>
                </c:pt>
                <c:pt idx="1">
                  <c:v>Orlando Theme</c:v>
                </c:pt>
                <c:pt idx="2">
                  <c:v>Chicago Museum Tour</c:v>
                </c:pt>
              </c:strCache>
            </c:strRef>
          </c:cat>
          <c:val>
            <c:numRef>
              <c:f>Vacation!$H$34:$J$34</c:f>
              <c:numCache>
                <c:formatCode>_("$"* #,##0.00_);_("$"* \(#,##0.00\);_("$"* "-"??_);_(@_)</c:formatCode>
                <c:ptCount val="3"/>
                <c:pt idx="0">
                  <c:v>3620</c:v>
                </c:pt>
                <c:pt idx="1">
                  <c:v>2581</c:v>
                </c:pt>
                <c:pt idx="2">
                  <c:v>2348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D-49AC-9D53-573C68FCBE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110640"/>
        <c:axId val="156113552"/>
      </c:barChart>
      <c:catAx>
        <c:axId val="15611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13552"/>
        <c:crosses val="autoZero"/>
        <c:auto val="1"/>
        <c:lblAlgn val="ctr"/>
        <c:lblOffset val="100"/>
        <c:noMultiLvlLbl val="0"/>
      </c:catAx>
      <c:valAx>
        <c:axId val="15611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Implication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1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8</xdr:row>
      <xdr:rowOff>82550</xdr:rowOff>
    </xdr:from>
    <xdr:to>
      <xdr:col>11</xdr:col>
      <xdr:colOff>504825</xdr:colOff>
      <xdr:row>23</xdr:row>
      <xdr:rowOff>63500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45</xdr:row>
      <xdr:rowOff>73024</xdr:rowOff>
    </xdr:from>
    <xdr:to>
      <xdr:col>6</xdr:col>
      <xdr:colOff>373062</xdr:colOff>
      <xdr:row>60</xdr:row>
      <xdr:rowOff>77787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3968</xdr:colOff>
      <xdr:row>42</xdr:row>
      <xdr:rowOff>87320</xdr:rowOff>
    </xdr:from>
    <xdr:to>
      <xdr:col>15</xdr:col>
      <xdr:colOff>51593</xdr:colOff>
      <xdr:row>57</xdr:row>
      <xdr:rowOff>92082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152400</xdr:rowOff>
    </xdr:from>
    <xdr:to>
      <xdr:col>3</xdr:col>
      <xdr:colOff>1035050</xdr:colOff>
      <xdr:row>50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142446</xdr:colOff>
      <xdr:row>36</xdr:row>
      <xdr:rowOff>35697</xdr:rowOff>
    </xdr:from>
    <xdr:to>
      <xdr:col>10</xdr:col>
      <xdr:colOff>97824</xdr:colOff>
      <xdr:row>50</xdr:row>
      <xdr:rowOff>135924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6"/>
  <sheetViews>
    <sheetView tabSelected="1" topLeftCell="A6" zoomScale="80" workbookViewId="0">
      <selection activeCell="Q30" sqref="Q30"/>
    </sheetView>
  </sheetViews>
  <sheetFormatPr defaultRowHeight="14.5" x14ac:dyDescent="0.35"/>
  <cols>
    <col min="1" max="1" width="9.7265625" bestFit="1" customWidth="1"/>
    <col min="2" max="2" width="15.36328125" customWidth="1"/>
    <col min="7" max="7" width="12.6328125" customWidth="1"/>
    <col min="10" max="10" width="12.26953125" customWidth="1"/>
  </cols>
  <sheetData>
    <row r="2" spans="1:3" x14ac:dyDescent="0.35">
      <c r="A2" s="3"/>
      <c r="B2" s="3" t="s">
        <v>3</v>
      </c>
      <c r="C2" s="3" t="s">
        <v>4</v>
      </c>
    </row>
    <row r="3" spans="1:3" x14ac:dyDescent="0.35">
      <c r="A3" s="53" t="s">
        <v>14</v>
      </c>
      <c r="B3" s="53"/>
      <c r="C3" s="53"/>
    </row>
    <row r="4" spans="1:3" x14ac:dyDescent="0.35">
      <c r="A4" s="1" t="s">
        <v>6</v>
      </c>
      <c r="B4" s="2">
        <v>90</v>
      </c>
      <c r="C4" s="2">
        <v>50</v>
      </c>
    </row>
    <row r="5" spans="1:3" x14ac:dyDescent="0.35">
      <c r="A5" s="1" t="s">
        <v>5</v>
      </c>
      <c r="B5" s="2">
        <v>2</v>
      </c>
      <c r="C5" s="2">
        <v>2.5</v>
      </c>
    </row>
    <row r="6" spans="1:3" x14ac:dyDescent="0.35">
      <c r="A6" s="1" t="s">
        <v>7</v>
      </c>
      <c r="B6" s="2">
        <v>4.5</v>
      </c>
      <c r="C6" s="2">
        <v>5.5</v>
      </c>
    </row>
    <row r="7" spans="1:3" x14ac:dyDescent="0.35">
      <c r="A7" s="1" t="s">
        <v>8</v>
      </c>
      <c r="B7" s="2">
        <v>7</v>
      </c>
      <c r="C7" s="2">
        <v>7</v>
      </c>
    </row>
    <row r="8" spans="1:3" x14ac:dyDescent="0.35">
      <c r="A8" s="1" t="s">
        <v>9</v>
      </c>
      <c r="B8" s="2">
        <v>0</v>
      </c>
      <c r="C8" s="2">
        <v>3</v>
      </c>
    </row>
    <row r="9" spans="1:3" x14ac:dyDescent="0.35">
      <c r="A9" s="1" t="s">
        <v>1</v>
      </c>
      <c r="B9" s="2">
        <f>SUM(B4:B8)</f>
        <v>103.5</v>
      </c>
      <c r="C9" s="2">
        <f>SUM(C4:C8)</f>
        <v>68</v>
      </c>
    </row>
    <row r="11" spans="1:3" x14ac:dyDescent="0.35">
      <c r="A11" s="54" t="s">
        <v>10</v>
      </c>
      <c r="B11" s="54"/>
      <c r="C11" s="54"/>
    </row>
    <row r="12" spans="1:3" x14ac:dyDescent="0.35">
      <c r="A12" s="4" t="s">
        <v>11</v>
      </c>
      <c r="B12" s="6">
        <v>11</v>
      </c>
      <c r="C12" s="6">
        <v>21</v>
      </c>
    </row>
    <row r="13" spans="1:3" x14ac:dyDescent="0.35">
      <c r="A13" s="4" t="s">
        <v>12</v>
      </c>
      <c r="B13" s="6">
        <v>8</v>
      </c>
      <c r="C13" s="6">
        <v>0</v>
      </c>
    </row>
    <row r="14" spans="1:3" x14ac:dyDescent="0.35">
      <c r="A14" s="4" t="s">
        <v>13</v>
      </c>
      <c r="B14" s="6">
        <v>0</v>
      </c>
      <c r="C14" s="6">
        <v>3</v>
      </c>
    </row>
    <row r="15" spans="1:3" x14ac:dyDescent="0.35">
      <c r="A15" s="4" t="s">
        <v>15</v>
      </c>
      <c r="B15" s="6">
        <f>SUM(B12:B14)</f>
        <v>19</v>
      </c>
      <c r="C15" s="6">
        <f>SUM(C12:C14)</f>
        <v>24</v>
      </c>
    </row>
    <row r="16" spans="1:3" x14ac:dyDescent="0.35">
      <c r="A16" s="5" t="s">
        <v>1</v>
      </c>
      <c r="B16" s="7">
        <f>2*B15</f>
        <v>38</v>
      </c>
      <c r="C16" s="7">
        <f>2*C15</f>
        <v>48</v>
      </c>
    </row>
    <row r="18" spans="1:12" x14ac:dyDescent="0.35">
      <c r="A18" s="8"/>
      <c r="B18" s="8" t="s">
        <v>3</v>
      </c>
      <c r="C18" s="8" t="s">
        <v>4</v>
      </c>
    </row>
    <row r="19" spans="1:12" x14ac:dyDescent="0.35">
      <c r="A19" s="8" t="s">
        <v>16</v>
      </c>
      <c r="B19" s="9">
        <f>SUM((12*B16),B9)</f>
        <v>559.5</v>
      </c>
      <c r="C19" s="9">
        <f>SUM((12*C16),C9)</f>
        <v>644</v>
      </c>
    </row>
    <row r="26" spans="1:12" x14ac:dyDescent="0.35">
      <c r="B26" s="51" t="s">
        <v>48</v>
      </c>
      <c r="C26" s="51"/>
      <c r="D26" s="51"/>
      <c r="G26" s="51" t="s">
        <v>49</v>
      </c>
      <c r="H26" s="51"/>
      <c r="I26" s="51"/>
      <c r="J26" s="50"/>
    </row>
    <row r="27" spans="1:12" x14ac:dyDescent="0.35">
      <c r="B27" t="s">
        <v>42</v>
      </c>
      <c r="C27" t="s">
        <v>3</v>
      </c>
      <c r="D27" t="s">
        <v>4</v>
      </c>
      <c r="G27" t="s">
        <v>42</v>
      </c>
      <c r="H27" t="s">
        <v>50</v>
      </c>
      <c r="I27" t="s">
        <v>3</v>
      </c>
      <c r="J27" t="s">
        <v>51</v>
      </c>
      <c r="K27" t="s">
        <v>4</v>
      </c>
      <c r="L27" t="s">
        <v>53</v>
      </c>
    </row>
    <row r="28" spans="1:12" x14ac:dyDescent="0.35">
      <c r="B28" t="s">
        <v>45</v>
      </c>
      <c r="C28">
        <v>5</v>
      </c>
      <c r="D28">
        <v>8</v>
      </c>
      <c r="G28" t="s">
        <v>45</v>
      </c>
      <c r="H28" s="52">
        <v>0.2</v>
      </c>
      <c r="I28">
        <v>5</v>
      </c>
      <c r="J28">
        <f>H28*I28</f>
        <v>1</v>
      </c>
      <c r="K28">
        <v>8</v>
      </c>
      <c r="L28">
        <f>H28*K28</f>
        <v>1.6</v>
      </c>
    </row>
    <row r="29" spans="1:12" x14ac:dyDescent="0.35">
      <c r="B29" t="s">
        <v>46</v>
      </c>
      <c r="C29">
        <v>8</v>
      </c>
      <c r="D29">
        <v>6</v>
      </c>
      <c r="G29" t="s">
        <v>46</v>
      </c>
      <c r="H29" s="52">
        <v>0.25</v>
      </c>
      <c r="I29">
        <v>8</v>
      </c>
      <c r="J29">
        <f>H29*I29</f>
        <v>2</v>
      </c>
      <c r="K29">
        <v>6</v>
      </c>
      <c r="L29">
        <f>H29*K29</f>
        <v>1.5</v>
      </c>
    </row>
    <row r="30" spans="1:12" x14ac:dyDescent="0.35">
      <c r="B30" t="s">
        <v>47</v>
      </c>
      <c r="C30">
        <v>9</v>
      </c>
      <c r="D30">
        <v>5</v>
      </c>
      <c r="G30" t="s">
        <v>47</v>
      </c>
      <c r="H30" s="52">
        <v>0.3</v>
      </c>
      <c r="I30">
        <v>9</v>
      </c>
      <c r="J30">
        <f t="shared" ref="J29:J32" si="0">H30*I30</f>
        <v>2.6999999999999997</v>
      </c>
      <c r="K30">
        <v>5</v>
      </c>
      <c r="L30">
        <f>H30*K30</f>
        <v>1.5</v>
      </c>
    </row>
    <row r="31" spans="1:12" x14ac:dyDescent="0.35">
      <c r="B31" t="s">
        <v>43</v>
      </c>
      <c r="C31">
        <v>8</v>
      </c>
      <c r="D31">
        <v>6</v>
      </c>
      <c r="G31" t="s">
        <v>43</v>
      </c>
      <c r="H31" s="52">
        <v>0.15</v>
      </c>
      <c r="I31">
        <v>8</v>
      </c>
      <c r="J31">
        <f t="shared" si="0"/>
        <v>1.2</v>
      </c>
      <c r="K31">
        <v>6</v>
      </c>
      <c r="L31">
        <f>H31*K31</f>
        <v>0.89999999999999991</v>
      </c>
    </row>
    <row r="32" spans="1:12" x14ac:dyDescent="0.35">
      <c r="B32" t="s">
        <v>44</v>
      </c>
      <c r="C32">
        <v>6</v>
      </c>
      <c r="D32">
        <v>8</v>
      </c>
      <c r="G32" t="s">
        <v>44</v>
      </c>
      <c r="H32" s="52">
        <v>0.1</v>
      </c>
      <c r="I32">
        <v>6</v>
      </c>
      <c r="J32">
        <f t="shared" si="0"/>
        <v>0.60000000000000009</v>
      </c>
      <c r="K32">
        <v>8</v>
      </c>
      <c r="L32">
        <f>H32*K32</f>
        <v>0.8</v>
      </c>
    </row>
    <row r="33" spans="2:12" x14ac:dyDescent="0.35">
      <c r="B33" t="s">
        <v>1</v>
      </c>
      <c r="C33">
        <v>36</v>
      </c>
      <c r="D33">
        <v>33</v>
      </c>
      <c r="G33" t="s">
        <v>1</v>
      </c>
      <c r="J33">
        <f>SUM(J28:J32)</f>
        <v>7.5</v>
      </c>
      <c r="L33">
        <f>SUM(L28:L32)</f>
        <v>6.3</v>
      </c>
    </row>
    <row r="34" spans="2:12" x14ac:dyDescent="0.35">
      <c r="J34" t="s">
        <v>51</v>
      </c>
      <c r="K34" t="s">
        <v>52</v>
      </c>
    </row>
    <row r="35" spans="2:12" x14ac:dyDescent="0.35">
      <c r="C35" t="s">
        <v>3</v>
      </c>
      <c r="D35" t="s">
        <v>4</v>
      </c>
      <c r="J35">
        <v>7.5</v>
      </c>
      <c r="K35">
        <v>6.3</v>
      </c>
    </row>
    <row r="36" spans="2:12" x14ac:dyDescent="0.35">
      <c r="C36">
        <v>36</v>
      </c>
      <c r="D36">
        <v>33</v>
      </c>
    </row>
  </sheetData>
  <mergeCells count="4">
    <mergeCell ref="G26:I26"/>
    <mergeCell ref="B26:D26"/>
    <mergeCell ref="A3:C3"/>
    <mergeCell ref="A11:C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zoomScale="77" workbookViewId="0">
      <selection activeCell="P43" sqref="P43"/>
    </sheetView>
  </sheetViews>
  <sheetFormatPr defaultRowHeight="14.5" x14ac:dyDescent="0.35"/>
  <cols>
    <col min="1" max="1" width="25.81640625" bestFit="1" customWidth="1"/>
    <col min="2" max="2" width="14.1796875" customWidth="1"/>
    <col min="3" max="3" width="14.7265625" bestFit="1" customWidth="1"/>
    <col min="4" max="4" width="19.6328125" bestFit="1" customWidth="1"/>
    <col min="8" max="8" width="14.7265625" bestFit="1" customWidth="1"/>
    <col min="9" max="9" width="13.90625" bestFit="1" customWidth="1"/>
    <col min="10" max="10" width="19.6328125" bestFit="1" customWidth="1"/>
  </cols>
  <sheetData>
    <row r="1" spans="1:10" x14ac:dyDescent="0.35">
      <c r="B1" t="s">
        <v>17</v>
      </c>
      <c r="C1" t="s">
        <v>18</v>
      </c>
      <c r="D1" t="s">
        <v>19</v>
      </c>
      <c r="H1" t="s">
        <v>17</v>
      </c>
      <c r="I1" t="s">
        <v>18</v>
      </c>
      <c r="J1" t="s">
        <v>19</v>
      </c>
    </row>
    <row r="2" spans="1:10" x14ac:dyDescent="0.35">
      <c r="G2" s="3"/>
    </row>
    <row r="3" spans="1:10" x14ac:dyDescent="0.35">
      <c r="G3" s="24"/>
      <c r="H3" s="49"/>
      <c r="I3" s="49"/>
      <c r="J3" s="49"/>
    </row>
    <row r="4" spans="1:10" x14ac:dyDescent="0.35">
      <c r="A4" s="12" t="s">
        <v>21</v>
      </c>
      <c r="B4" s="10"/>
      <c r="C4" s="10"/>
      <c r="D4" s="10"/>
      <c r="G4" s="12" t="s">
        <v>21</v>
      </c>
      <c r="H4" s="10"/>
      <c r="I4" s="10"/>
      <c r="J4" s="10"/>
    </row>
    <row r="5" spans="1:10" x14ac:dyDescent="0.35">
      <c r="A5" s="10" t="s">
        <v>22</v>
      </c>
      <c r="B5" s="11">
        <v>350</v>
      </c>
      <c r="C5" s="11">
        <v>100</v>
      </c>
      <c r="D5" s="11">
        <v>280</v>
      </c>
      <c r="G5" s="10" t="s">
        <v>22</v>
      </c>
      <c r="H5" s="11">
        <v>350</v>
      </c>
      <c r="I5" s="11">
        <v>100</v>
      </c>
      <c r="J5" s="11">
        <v>280</v>
      </c>
    </row>
    <row r="6" spans="1:10" x14ac:dyDescent="0.35">
      <c r="A6" s="10" t="s">
        <v>23</v>
      </c>
      <c r="B6" s="11">
        <v>0</v>
      </c>
      <c r="C6" s="11">
        <v>99</v>
      </c>
      <c r="D6" s="11">
        <v>0</v>
      </c>
      <c r="G6" s="10" t="s">
        <v>23</v>
      </c>
      <c r="H6" s="11">
        <v>0</v>
      </c>
      <c r="I6" s="11">
        <v>99</v>
      </c>
      <c r="J6" s="11">
        <v>0</v>
      </c>
    </row>
    <row r="7" spans="1:10" x14ac:dyDescent="0.35">
      <c r="A7" s="10" t="s">
        <v>24</v>
      </c>
      <c r="B7" s="11">
        <v>0</v>
      </c>
      <c r="C7" s="11">
        <v>95</v>
      </c>
      <c r="D7" s="11">
        <v>0</v>
      </c>
      <c r="G7" s="10" t="s">
        <v>24</v>
      </c>
      <c r="H7" s="11">
        <v>0</v>
      </c>
      <c r="I7" s="11">
        <v>95</v>
      </c>
      <c r="J7" s="11">
        <v>0</v>
      </c>
    </row>
    <row r="8" spans="1:10" x14ac:dyDescent="0.35">
      <c r="A8" s="10" t="s">
        <v>25</v>
      </c>
      <c r="B8" s="11">
        <v>0</v>
      </c>
      <c r="C8" s="11">
        <v>85</v>
      </c>
      <c r="D8" s="11">
        <v>0</v>
      </c>
      <c r="G8" s="10" t="s">
        <v>25</v>
      </c>
      <c r="H8" s="11">
        <v>0</v>
      </c>
      <c r="I8" s="11">
        <v>85</v>
      </c>
      <c r="J8" s="11">
        <v>0</v>
      </c>
    </row>
    <row r="9" spans="1:10" x14ac:dyDescent="0.35">
      <c r="A9" s="10" t="s">
        <v>26</v>
      </c>
      <c r="B9" s="11">
        <v>0</v>
      </c>
      <c r="C9" s="11">
        <v>85</v>
      </c>
      <c r="D9" s="11">
        <v>0</v>
      </c>
      <c r="G9" s="10" t="s">
        <v>26</v>
      </c>
      <c r="H9" s="11">
        <v>0</v>
      </c>
      <c r="I9" s="11">
        <v>85</v>
      </c>
      <c r="J9" s="11">
        <v>0</v>
      </c>
    </row>
    <row r="10" spans="1:10" x14ac:dyDescent="0.35">
      <c r="A10" s="10" t="s">
        <v>27</v>
      </c>
      <c r="B10" s="11">
        <v>0</v>
      </c>
      <c r="C10" s="11">
        <v>0</v>
      </c>
      <c r="D10" s="11">
        <v>18</v>
      </c>
      <c r="G10" s="10" t="s">
        <v>27</v>
      </c>
      <c r="H10" s="11">
        <v>0</v>
      </c>
      <c r="I10" s="11">
        <v>0</v>
      </c>
      <c r="J10" s="11">
        <v>18</v>
      </c>
    </row>
    <row r="11" spans="1:10" x14ac:dyDescent="0.35">
      <c r="A11" s="10" t="s">
        <v>28</v>
      </c>
      <c r="B11" s="11">
        <v>0</v>
      </c>
      <c r="C11" s="11">
        <v>0</v>
      </c>
      <c r="D11" s="11">
        <v>25</v>
      </c>
      <c r="G11" s="10" t="s">
        <v>28</v>
      </c>
      <c r="H11" s="11">
        <v>0</v>
      </c>
      <c r="I11" s="11">
        <v>0</v>
      </c>
      <c r="J11" s="11">
        <v>25</v>
      </c>
    </row>
    <row r="12" spans="1:10" x14ac:dyDescent="0.35">
      <c r="A12" s="10" t="s">
        <v>29</v>
      </c>
      <c r="B12" s="11">
        <v>0</v>
      </c>
      <c r="C12" s="11">
        <v>0</v>
      </c>
      <c r="D12" s="11">
        <v>9</v>
      </c>
      <c r="G12" s="10" t="s">
        <v>29</v>
      </c>
      <c r="H12" s="11">
        <v>0</v>
      </c>
      <c r="I12" s="11">
        <v>0</v>
      </c>
      <c r="J12" s="11">
        <v>9</v>
      </c>
    </row>
    <row r="13" spans="1:10" x14ac:dyDescent="0.35">
      <c r="A13" s="10" t="s">
        <v>30</v>
      </c>
      <c r="B13" s="11">
        <v>0</v>
      </c>
      <c r="C13" s="11">
        <v>0</v>
      </c>
      <c r="D13" s="11">
        <v>15</v>
      </c>
      <c r="G13" s="10" t="s">
        <v>30</v>
      </c>
      <c r="H13" s="11">
        <v>0</v>
      </c>
      <c r="I13" s="11">
        <v>0</v>
      </c>
      <c r="J13" s="11">
        <v>15</v>
      </c>
    </row>
    <row r="14" spans="1:10" x14ac:dyDescent="0.35">
      <c r="A14" s="10" t="s">
        <v>31</v>
      </c>
      <c r="B14" s="11">
        <v>555</v>
      </c>
      <c r="C14" s="11">
        <v>0</v>
      </c>
      <c r="D14" s="11">
        <v>0</v>
      </c>
      <c r="G14" s="10" t="s">
        <v>31</v>
      </c>
      <c r="H14" s="11">
        <v>555</v>
      </c>
      <c r="I14" s="11">
        <v>0</v>
      </c>
      <c r="J14" s="11">
        <v>0</v>
      </c>
    </row>
    <row r="15" spans="1:10" x14ac:dyDescent="0.35">
      <c r="A15" s="10" t="s">
        <v>11</v>
      </c>
      <c r="B15" s="11">
        <v>0</v>
      </c>
      <c r="C15" s="11">
        <v>50</v>
      </c>
      <c r="D15" s="11">
        <v>50</v>
      </c>
      <c r="G15" s="10" t="s">
        <v>11</v>
      </c>
      <c r="H15" s="11">
        <v>0</v>
      </c>
      <c r="I15" s="11">
        <v>50</v>
      </c>
      <c r="J15" s="11">
        <v>50</v>
      </c>
    </row>
    <row r="16" spans="1:10" x14ac:dyDescent="0.35">
      <c r="A16" s="3"/>
      <c r="B16" s="14"/>
      <c r="C16" s="14"/>
      <c r="D16" s="14"/>
    </row>
    <row r="17" spans="1:10" x14ac:dyDescent="0.35">
      <c r="A17" s="10" t="s">
        <v>0</v>
      </c>
      <c r="G17" s="10" t="s">
        <v>2</v>
      </c>
    </row>
    <row r="18" spans="1:10" x14ac:dyDescent="0.35">
      <c r="A18" s="15" t="s">
        <v>32</v>
      </c>
      <c r="B18" s="16">
        <f>SUM(B5:B15)</f>
        <v>905</v>
      </c>
      <c r="C18" s="16">
        <f>SUM(C5:C15)</f>
        <v>514</v>
      </c>
      <c r="D18" s="17">
        <f>SUM(D5:D15)</f>
        <v>397</v>
      </c>
      <c r="E18" s="13"/>
      <c r="G18" s="15" t="s">
        <v>32</v>
      </c>
      <c r="H18" s="16">
        <f>SUM(H5:H15)</f>
        <v>905</v>
      </c>
      <c r="I18" s="16">
        <f>SUM(I5:I15)</f>
        <v>514</v>
      </c>
      <c r="J18" s="17">
        <f>SUM(J5:J15)</f>
        <v>397</v>
      </c>
    </row>
    <row r="19" spans="1:10" x14ac:dyDescent="0.35">
      <c r="A19" s="18" t="s">
        <v>33</v>
      </c>
      <c r="B19" s="19">
        <v>2</v>
      </c>
      <c r="C19" s="19">
        <v>2</v>
      </c>
      <c r="D19" s="20">
        <v>2</v>
      </c>
      <c r="E19" s="13"/>
      <c r="G19" s="18" t="s">
        <v>33</v>
      </c>
      <c r="H19" s="19">
        <v>4</v>
      </c>
      <c r="I19" s="19">
        <v>4</v>
      </c>
      <c r="J19" s="20">
        <v>4</v>
      </c>
    </row>
    <row r="20" spans="1:10" x14ac:dyDescent="0.35">
      <c r="A20" s="18" t="s">
        <v>34</v>
      </c>
      <c r="B20" s="21">
        <f>B19*B18</f>
        <v>1810</v>
      </c>
      <c r="C20" s="21">
        <f t="shared" ref="C20:D20" si="0">C19*C18</f>
        <v>1028</v>
      </c>
      <c r="D20" s="22">
        <f t="shared" si="0"/>
        <v>794</v>
      </c>
      <c r="E20" s="13"/>
      <c r="G20" s="18" t="s">
        <v>34</v>
      </c>
      <c r="H20" s="21">
        <f>H19*H18</f>
        <v>3620</v>
      </c>
      <c r="I20" s="21">
        <f t="shared" ref="I20" si="1">I19*I18</f>
        <v>2056</v>
      </c>
      <c r="J20" s="22">
        <f t="shared" ref="J20" si="2">J19*J18</f>
        <v>1588</v>
      </c>
    </row>
    <row r="21" spans="1:10" x14ac:dyDescent="0.35">
      <c r="A21" s="23"/>
      <c r="B21" s="24"/>
      <c r="C21" s="24"/>
      <c r="D21" s="25"/>
      <c r="E21" s="13"/>
    </row>
    <row r="22" spans="1:10" x14ac:dyDescent="0.35">
      <c r="A22" s="26" t="s">
        <v>35</v>
      </c>
      <c r="B22" s="27"/>
      <c r="C22" s="27"/>
      <c r="D22" s="28"/>
      <c r="G22" s="26" t="s">
        <v>35</v>
      </c>
      <c r="H22" s="27"/>
      <c r="I22" s="27"/>
      <c r="J22" s="28"/>
    </row>
    <row r="23" spans="1:10" x14ac:dyDescent="0.35">
      <c r="A23" s="26" t="s">
        <v>36</v>
      </c>
      <c r="B23" s="29">
        <v>0</v>
      </c>
      <c r="C23" s="29">
        <v>105</v>
      </c>
      <c r="D23" s="30">
        <v>120</v>
      </c>
      <c r="G23" s="26" t="s">
        <v>36</v>
      </c>
      <c r="H23" s="29">
        <v>0</v>
      </c>
      <c r="I23" s="29">
        <v>105</v>
      </c>
      <c r="J23" s="30">
        <v>120</v>
      </c>
    </row>
    <row r="24" spans="1:10" x14ac:dyDescent="0.35">
      <c r="A24" s="26" t="s">
        <v>37</v>
      </c>
      <c r="B24" s="31">
        <v>5</v>
      </c>
      <c r="C24" s="31">
        <v>5</v>
      </c>
      <c r="D24" s="32">
        <v>5</v>
      </c>
      <c r="G24" s="26" t="s">
        <v>37</v>
      </c>
      <c r="H24" s="31">
        <v>5</v>
      </c>
      <c r="I24" s="31">
        <v>5</v>
      </c>
      <c r="J24" s="32">
        <v>5</v>
      </c>
    </row>
    <row r="25" spans="1:10" x14ac:dyDescent="0.35">
      <c r="A25" s="26" t="s">
        <v>40</v>
      </c>
      <c r="B25" s="29">
        <f>B24*B23</f>
        <v>0</v>
      </c>
      <c r="C25" s="29">
        <f t="shared" ref="C25:D25" si="3">C24*C23</f>
        <v>525</v>
      </c>
      <c r="D25" s="30">
        <f t="shared" si="3"/>
        <v>600</v>
      </c>
      <c r="G25" s="26" t="s">
        <v>40</v>
      </c>
      <c r="H25" s="29">
        <f>H24*H23</f>
        <v>0</v>
      </c>
      <c r="I25" s="29">
        <f t="shared" ref="I25" si="4">I24*I23</f>
        <v>525</v>
      </c>
      <c r="J25" s="30">
        <f t="shared" ref="J25" si="5">J24*J23</f>
        <v>600</v>
      </c>
    </row>
    <row r="26" spans="1:10" x14ac:dyDescent="0.35">
      <c r="A26" s="33"/>
      <c r="B26" s="34"/>
      <c r="C26" s="34"/>
      <c r="D26" s="35"/>
    </row>
    <row r="27" spans="1:10" x14ac:dyDescent="0.35">
      <c r="A27" s="36" t="s">
        <v>20</v>
      </c>
      <c r="B27" s="37"/>
      <c r="C27" s="37"/>
      <c r="D27" s="38"/>
      <c r="G27" s="36" t="s">
        <v>20</v>
      </c>
      <c r="H27" s="37"/>
      <c r="I27" s="37"/>
      <c r="J27" s="38"/>
    </row>
    <row r="28" spans="1:10" x14ac:dyDescent="0.35">
      <c r="A28" s="36" t="s">
        <v>38</v>
      </c>
      <c r="B28" s="39">
        <v>0</v>
      </c>
      <c r="C28" s="39">
        <v>0</v>
      </c>
      <c r="D28" s="40">
        <v>40</v>
      </c>
      <c r="G28" s="36" t="s">
        <v>38</v>
      </c>
      <c r="H28" s="39">
        <v>0</v>
      </c>
      <c r="I28" s="39">
        <v>0</v>
      </c>
      <c r="J28" s="40">
        <v>40</v>
      </c>
    </row>
    <row r="29" spans="1:10" x14ac:dyDescent="0.35">
      <c r="A29" s="36" t="s">
        <v>39</v>
      </c>
      <c r="B29" s="37">
        <v>4</v>
      </c>
      <c r="C29" s="37">
        <v>4</v>
      </c>
      <c r="D29" s="38">
        <v>4</v>
      </c>
      <c r="G29" s="36" t="s">
        <v>39</v>
      </c>
      <c r="H29" s="37">
        <v>4</v>
      </c>
      <c r="I29" s="37">
        <v>4</v>
      </c>
      <c r="J29" s="38">
        <v>4</v>
      </c>
    </row>
    <row r="30" spans="1:10" x14ac:dyDescent="0.35">
      <c r="A30" s="36" t="s">
        <v>41</v>
      </c>
      <c r="B30" s="41">
        <f>B29*B28</f>
        <v>0</v>
      </c>
      <c r="C30" s="41">
        <f t="shared" ref="C30:D30" si="6">C29*C28</f>
        <v>0</v>
      </c>
      <c r="D30" s="42">
        <f t="shared" si="6"/>
        <v>160</v>
      </c>
      <c r="G30" s="36" t="s">
        <v>41</v>
      </c>
      <c r="H30" s="41">
        <f>H29*H28</f>
        <v>0</v>
      </c>
      <c r="I30" s="41">
        <f t="shared" ref="I30" si="7">I29*I28</f>
        <v>0</v>
      </c>
      <c r="J30" s="42">
        <f t="shared" ref="J30" si="8">J29*J28</f>
        <v>160</v>
      </c>
    </row>
    <row r="31" spans="1:10" x14ac:dyDescent="0.35">
      <c r="A31" s="33"/>
      <c r="B31" s="34"/>
      <c r="C31" s="34"/>
      <c r="D31" s="35"/>
      <c r="G31" s="33"/>
      <c r="H31" s="34"/>
      <c r="I31" s="34"/>
      <c r="J31" s="35"/>
    </row>
    <row r="32" spans="1:10" x14ac:dyDescent="0.35">
      <c r="A32" s="33"/>
      <c r="B32" s="34"/>
      <c r="C32" s="34"/>
      <c r="D32" s="35"/>
      <c r="G32" s="33"/>
      <c r="H32" s="34"/>
      <c r="I32" s="34"/>
      <c r="J32" s="35"/>
    </row>
    <row r="33" spans="1:10" x14ac:dyDescent="0.35">
      <c r="A33" s="43" t="s">
        <v>0</v>
      </c>
      <c r="B33" s="44" t="s">
        <v>17</v>
      </c>
      <c r="C33" s="44" t="s">
        <v>18</v>
      </c>
      <c r="D33" s="45" t="s">
        <v>19</v>
      </c>
      <c r="G33" s="43" t="s">
        <v>0</v>
      </c>
      <c r="H33" s="44" t="s">
        <v>17</v>
      </c>
      <c r="I33" s="44" t="s">
        <v>18</v>
      </c>
      <c r="J33" s="45" t="s">
        <v>19</v>
      </c>
    </row>
    <row r="34" spans="1:10" x14ac:dyDescent="0.35">
      <c r="A34" s="46" t="s">
        <v>1</v>
      </c>
      <c r="B34" s="47">
        <f>SUM(B30,B25,B20)</f>
        <v>1810</v>
      </c>
      <c r="C34" s="47">
        <f t="shared" ref="C34:D34" si="9">SUM(C30,C25,C20)</f>
        <v>1553</v>
      </c>
      <c r="D34" s="48">
        <f t="shared" si="9"/>
        <v>1554</v>
      </c>
      <c r="G34" s="46" t="s">
        <v>1</v>
      </c>
      <c r="H34" s="47">
        <f>SUM(H30,H25,H20)</f>
        <v>3620</v>
      </c>
      <c r="I34" s="47">
        <f t="shared" ref="I34" si="10">SUM(I30,I25,I20)</f>
        <v>2581</v>
      </c>
      <c r="J34" s="48">
        <f>SUM(J30,J25,J20)</f>
        <v>2348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 and Dog</vt:lpstr>
      <vt:lpstr>Vacation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2026-03-06T16:57:51Z</dcterms:created>
  <dcterms:modified xsi:type="dcterms:W3CDTF">2026-05-12T11:14:53Z</dcterms:modified>
</cp:coreProperties>
</file>